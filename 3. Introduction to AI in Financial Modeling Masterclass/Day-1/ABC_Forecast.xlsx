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i\Downloads\"/>
    </mc:Choice>
  </mc:AlternateContent>
  <xr:revisionPtr revIDLastSave="0" documentId="13_ncr:1_{DB8C5991-2753-4E6C-9DFB-16DFAD942093}" xr6:coauthVersionLast="47" xr6:coauthVersionMax="47" xr10:uidLastSave="{00000000-0000-0000-0000-000000000000}"/>
  <bookViews>
    <workbookView xWindow="-104" yWindow="-104" windowWidth="22326" windowHeight="11947" activeTab="1" xr2:uid="{8D576CD0-FAE2-4EFB-9D6F-17A77C182EE8}"/>
  </bookViews>
  <sheets>
    <sheet name="ABC Restaurant Datasheet" sheetId="1" r:id="rId1"/>
    <sheet name="Revenue Forec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1" l="1"/>
  <c r="AA15" i="1"/>
  <c r="AA27" i="1" s="1"/>
  <c r="AB15" i="1"/>
  <c r="AC15" i="1"/>
  <c r="AD15" i="1"/>
  <c r="AE15" i="1"/>
  <c r="AF15" i="1"/>
  <c r="AG15" i="1"/>
  <c r="AH15" i="1"/>
  <c r="AI15" i="1"/>
  <c r="Z9" i="1"/>
  <c r="AA9" i="1"/>
  <c r="AB9" i="1"/>
  <c r="AC9" i="1"/>
  <c r="AD9" i="1"/>
  <c r="AE9" i="1"/>
  <c r="AE27" i="1" s="1"/>
  <c r="AF9" i="1"/>
  <c r="AG9" i="1"/>
  <c r="AH9" i="1"/>
  <c r="AI9" i="1"/>
  <c r="AB27" i="1"/>
  <c r="AC27" i="1"/>
  <c r="AD27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O27" i="1" s="1"/>
  <c r="P15" i="1"/>
  <c r="P27" i="1" s="1"/>
  <c r="Q15" i="1"/>
  <c r="R15" i="1"/>
  <c r="S15" i="1"/>
  <c r="T15" i="1"/>
  <c r="U15" i="1"/>
  <c r="V15" i="1"/>
  <c r="W15" i="1"/>
  <c r="X15" i="1"/>
  <c r="Y15" i="1"/>
  <c r="B15" i="1"/>
  <c r="C9" i="1"/>
  <c r="D9" i="1"/>
  <c r="E9" i="1"/>
  <c r="F9" i="1"/>
  <c r="G9" i="1"/>
  <c r="H9" i="1"/>
  <c r="I9" i="1"/>
  <c r="J9" i="1"/>
  <c r="K9" i="1"/>
  <c r="K27" i="1" s="1"/>
  <c r="L9" i="1"/>
  <c r="L27" i="1" s="1"/>
  <c r="M9" i="1"/>
  <c r="M27" i="1" s="1"/>
  <c r="N9" i="1"/>
  <c r="N27" i="1" s="1"/>
  <c r="O9" i="1"/>
  <c r="P9" i="1"/>
  <c r="Q9" i="1"/>
  <c r="R9" i="1"/>
  <c r="S9" i="1"/>
  <c r="T9" i="1"/>
  <c r="U9" i="1"/>
  <c r="V9" i="1"/>
  <c r="W9" i="1"/>
  <c r="X9" i="1"/>
  <c r="Y9" i="1"/>
  <c r="Y27" i="1" s="1"/>
  <c r="B9" i="1"/>
  <c r="B27" i="1" s="1"/>
  <c r="C33" i="2"/>
  <c r="C34" i="2"/>
  <c r="C35" i="2"/>
  <c r="C36" i="2"/>
  <c r="C37" i="2"/>
  <c r="C38" i="2"/>
  <c r="C39" i="2"/>
  <c r="C40" i="2"/>
  <c r="Z27" i="1" l="1"/>
  <c r="AI27" i="1"/>
  <c r="AH27" i="1"/>
  <c r="AG27" i="1"/>
  <c r="AF27" i="1"/>
  <c r="X27" i="1"/>
  <c r="J27" i="1"/>
  <c r="W27" i="1"/>
  <c r="I27" i="1"/>
  <c r="V27" i="1"/>
  <c r="H27" i="1"/>
  <c r="U27" i="1"/>
  <c r="G27" i="1"/>
  <c r="T27" i="1"/>
  <c r="F27" i="1"/>
  <c r="S27" i="1"/>
  <c r="E27" i="1"/>
  <c r="R27" i="1"/>
  <c r="D27" i="1"/>
  <c r="Q27" i="1"/>
  <c r="C27" i="1"/>
  <c r="D40" i="2"/>
  <c r="E36" i="2"/>
  <c r="D34" i="2"/>
  <c r="D38" i="2"/>
  <c r="E34" i="2"/>
  <c r="D33" i="2"/>
  <c r="E33" i="2"/>
  <c r="E40" i="2"/>
  <c r="D36" i="2"/>
  <c r="E35" i="2"/>
  <c r="E37" i="2"/>
  <c r="D39" i="2"/>
  <c r="D35" i="2"/>
  <c r="E39" i="2"/>
  <c r="D37" i="2"/>
  <c r="E38" i="2"/>
</calcChain>
</file>

<file path=xl/sharedStrings.xml><?xml version="1.0" encoding="utf-8"?>
<sst xmlns="http://schemas.openxmlformats.org/spreadsheetml/2006/main" count="67" uniqueCount="61">
  <si>
    <t>Salaries</t>
  </si>
  <si>
    <t>Benefits</t>
  </si>
  <si>
    <t>Rent</t>
  </si>
  <si>
    <t>Utilities</t>
  </si>
  <si>
    <t>Marketing</t>
  </si>
  <si>
    <t>Delivery_Commission</t>
  </si>
  <si>
    <t>Maintenance</t>
  </si>
  <si>
    <t>POS_IT</t>
  </si>
  <si>
    <t>Licenses</t>
  </si>
  <si>
    <t>Other_Expenses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</si>
  <si>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</si>
  <si>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</si>
  <si>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</si>
  <si>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</si>
  <si>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</si>
  <si>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</si>
  <si>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</si>
  <si>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</si>
  <si>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</si>
  <si>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</si>
  <si>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</si>
  <si>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</si>
  <si>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</si>
  <si>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</si>
  <si>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</si>
  <si>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</si>
  <si>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</si>
  <si>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</si>
  <si>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</si>
  <si>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</si>
  <si>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</si>
  <si>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</si>
  <si>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</si>
  <si>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</si>
  <si>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Particulars</t>
  </si>
  <si>
    <t>Total Revenue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</si>
  <si>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</si>
  <si>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</si>
  <si>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</si>
  <si>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</si>
  <si>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</si>
  <si>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</si>
  <si>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</si>
  <si>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</si>
  <si>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</si>
  <si>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</si>
  <si>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Forecast</t>
  </si>
  <si>
    <t>Food – Dine-In</t>
  </si>
  <si>
    <t>Food – Delivery &amp; Takeaway</t>
  </si>
  <si>
    <t>Beverage – Alcoholic</t>
  </si>
  <si>
    <t>Beverage – Non-Alcoholic</t>
  </si>
  <si>
    <t>COGS</t>
  </si>
  <si>
    <t>Expenses</t>
  </si>
  <si>
    <t>Revenue</t>
  </si>
  <si>
    <t>Net Profit</t>
  </si>
  <si>
    <t>ABC Restaurant – 24-Month Profit &amp; Loss Statement</t>
  </si>
  <si>
    <t>Timeline</t>
  </si>
  <si>
    <t>Values</t>
  </si>
  <si>
    <t>Lower Confidence Bound</t>
  </si>
  <si>
    <t>Upper Confidence Bound</t>
  </si>
  <si>
    <t>AI-Based Revenue Forecast – ABC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</si>
</sst>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]dd/mm/yyyy;@" x16r2:formatCode16="[$-en-001,1]dd/mm/yy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3" borderId="1" xfId="0" applyFont="1" applyFill="1" applyBorder="1"/>
    <xf numFmtId="0" fontId="0" fillId="0" borderId="0" xfId="0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4" fontId="0" fillId="0" borderId="0" xfId="1" applyNumberFormat="1" applyFont="1" applyAlignment="1">
      <alignment horizontal="right"/>
    </xf>
    <xf numFmtId="164" fontId="2" fillId="0" borderId="0" xfId="1" applyNumberFormat="1" applyFont="1" applyAlignment="1">
      <alignment horizontal="right"/>
    </xf>
    <xf numFmtId="0" fontId="0" fillId="0" borderId="0" xfId="0" applyAlignment="1">
      <alignment horizontal="left" indent="1"/>
    </xf>
    <xf numFmtId="0" fontId="2" fillId="0" borderId="1" xfId="0" applyFont="1" applyBorder="1"/>
    <xf numFmtId="164" fontId="0" fillId="0" borderId="1" xfId="1" applyNumberFormat="1" applyFont="1" applyBorder="1" applyAlignment="1">
      <alignment horizontal="right"/>
    </xf>
    <xf numFmtId="164" fontId="2" fillId="0" borderId="1" xfId="1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4" fontId="4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2" fillId="2" borderId="1" xfId="1" applyNumberFormat="1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0" fontId="2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4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6332413346469E-2"/>
          <c:y val="1.8891140109379295E-2"/>
          <c:w val="0.93443451759611873"/>
          <c:h val="0.84871535851217506"/>
        </c:manualLayout>
      </c:layout>
      <c:lineChart>
        <c:grouping val="standard"/>
        <c:varyColors val="0"/>
        <c:ser>
          <c:idx val="0"/>
          <c:order val="0"/>
          <c:tx>
            <c:strRef>
              <c:f>'Revenue Forecast'!$B$1</c:f>
              <c:strCache>
                <c:ptCount val="1"/>
                <c:pt idx="0">
                  <c:v>Values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'Revenue Forecast'!$B$2:$B$40</c:f>
              <c:numCache>
                <c:formatCode>_(* #,##0_);_(* \(#,##0\);_(* "-"??_);_(@_)</c:formatCode>
                <c:ptCount val="39"/>
                <c:pt idx="0">
                  <c:v>306000</c:v>
                </c:pt>
                <c:pt idx="1">
                  <c:v>314000</c:v>
                </c:pt>
                <c:pt idx="2">
                  <c:v>317000</c:v>
                </c:pt>
                <c:pt idx="3">
                  <c:v>325000</c:v>
                </c:pt>
                <c:pt idx="4">
                  <c:v>335000</c:v>
                </c:pt>
                <c:pt idx="5">
                  <c:v>343000</c:v>
                </c:pt>
                <c:pt idx="6">
                  <c:v>353000</c:v>
                </c:pt>
                <c:pt idx="7">
                  <c:v>361000</c:v>
                </c:pt>
                <c:pt idx="8">
                  <c:v>370000</c:v>
                </c:pt>
                <c:pt idx="9">
                  <c:v>378000</c:v>
                </c:pt>
                <c:pt idx="10">
                  <c:v>387000</c:v>
                </c:pt>
                <c:pt idx="11">
                  <c:v>395000</c:v>
                </c:pt>
                <c:pt idx="12">
                  <c:v>403500</c:v>
                </c:pt>
                <c:pt idx="13">
                  <c:v>412000</c:v>
                </c:pt>
                <c:pt idx="14">
                  <c:v>421000</c:v>
                </c:pt>
                <c:pt idx="15">
                  <c:v>429000</c:v>
                </c:pt>
                <c:pt idx="16">
                  <c:v>438000</c:v>
                </c:pt>
                <c:pt idx="17">
                  <c:v>446000</c:v>
                </c:pt>
                <c:pt idx="18">
                  <c:v>455000</c:v>
                </c:pt>
                <c:pt idx="19">
                  <c:v>463000</c:v>
                </c:pt>
                <c:pt idx="20">
                  <c:v>471625</c:v>
                </c:pt>
                <c:pt idx="21">
                  <c:v>480250</c:v>
                </c:pt>
                <c:pt idx="22">
                  <c:v>488875</c:v>
                </c:pt>
                <c:pt idx="23">
                  <c:v>497500</c:v>
                </c:pt>
                <c:pt idx="24">
                  <c:v>506125</c:v>
                </c:pt>
                <c:pt idx="25">
                  <c:v>514750</c:v>
                </c:pt>
                <c:pt idx="26">
                  <c:v>523375</c:v>
                </c:pt>
                <c:pt idx="27">
                  <c:v>532000</c:v>
                </c:pt>
                <c:pt idx="28">
                  <c:v>538000</c:v>
                </c:pt>
                <c:pt idx="29">
                  <c:v>544000</c:v>
                </c:pt>
                <c:pt idx="30">
                  <c:v>550000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D-43EF-A6DB-175240779CBE}"/>
            </c:ext>
          </c:extLst>
        </c:ser>
        <c:ser>
          <c:idx val="1"/>
          <c:order val="1"/>
          <c:tx>
            <c:strRef>
              <c:f>'Revenue Forecast'!$C$1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'Revenue Forecast'!$A$2:$A$40</c:f>
              <c:numCache>
                <c:formatCode>_(* #,##0_);_(* \(#,##0\);_(* "-"??_);_(@_)</c:formatCode>
                <c:ptCount val="39"/>
                <c:pt idx="0">
                  <c:v>306000</c:v>
                </c:pt>
                <c:pt idx="1">
                  <c:v>314000</c:v>
                </c:pt>
                <c:pt idx="2">
                  <c:v>317000</c:v>
                </c:pt>
                <c:pt idx="3">
                  <c:v>325000</c:v>
                </c:pt>
                <c:pt idx="4">
                  <c:v>335000</c:v>
                </c:pt>
                <c:pt idx="5">
                  <c:v>343000</c:v>
                </c:pt>
                <c:pt idx="6">
                  <c:v>353000</c:v>
                </c:pt>
                <c:pt idx="7">
                  <c:v>361000</c:v>
                </c:pt>
                <c:pt idx="8">
                  <c:v>370000</c:v>
                </c:pt>
                <c:pt idx="9">
                  <c:v>378000</c:v>
                </c:pt>
                <c:pt idx="10">
                  <c:v>387000</c:v>
                </c:pt>
                <c:pt idx="11">
                  <c:v>395000</c:v>
                </c:pt>
                <c:pt idx="12">
                  <c:v>404000</c:v>
                </c:pt>
                <c:pt idx="13">
                  <c:v>412000</c:v>
                </c:pt>
                <c:pt idx="14">
                  <c:v>421000</c:v>
                </c:pt>
                <c:pt idx="15">
                  <c:v>429000</c:v>
                </c:pt>
                <c:pt idx="16">
                  <c:v>438000</c:v>
                </c:pt>
                <c:pt idx="17">
                  <c:v>446000</c:v>
                </c:pt>
                <c:pt idx="18">
                  <c:v>455000</c:v>
                </c:pt>
                <c:pt idx="19">
                  <c:v>463000</c:v>
                </c:pt>
                <c:pt idx="20">
                  <c:v>471195.7671957672</c:v>
                </c:pt>
                <c:pt idx="21">
                  <c:v>479391.5343915344</c:v>
                </c:pt>
                <c:pt idx="22">
                  <c:v>487587.3015873016</c:v>
                </c:pt>
                <c:pt idx="23">
                  <c:v>495783.0687830688</c:v>
                </c:pt>
                <c:pt idx="24">
                  <c:v>503978.835978836</c:v>
                </c:pt>
                <c:pt idx="25">
                  <c:v>512174.60317460319</c:v>
                </c:pt>
                <c:pt idx="26">
                  <c:v>520370.37037037039</c:v>
                </c:pt>
                <c:pt idx="27">
                  <c:v>532000</c:v>
                </c:pt>
                <c:pt idx="28">
                  <c:v>536761.90476190485</c:v>
                </c:pt>
                <c:pt idx="29">
                  <c:v>544957.67195767199</c:v>
                </c:pt>
                <c:pt idx="30">
                  <c:v>550000</c:v>
                </c:pt>
                <c:pt idx="31">
                  <c:v>558195.76719576714</c:v>
                </c:pt>
                <c:pt idx="32">
                  <c:v>566391.5343915344</c:v>
                </c:pt>
                <c:pt idx="33">
                  <c:v>574587.30158730154</c:v>
                </c:pt>
                <c:pt idx="34">
                  <c:v>582783.0687830688</c:v>
                </c:pt>
                <c:pt idx="35">
                  <c:v>590978.83597883594</c:v>
                </c:pt>
                <c:pt idx="36">
                  <c:v>599174.60317460319</c:v>
                </c:pt>
                <c:pt idx="37">
                  <c:v>607370.37037037034</c:v>
                </c:pt>
                <c:pt idx="38">
                  <c:v>615566.13756613759</c:v>
                </c:pt>
              </c:numCache>
            </c:numRef>
          </c:cat>
          <c:val>
            <c:numRef>
              <c:f>'Revenue Forecast'!$C$2:$C$40</c:f>
              <c:numCache>
                <c:formatCode>General</c:formatCode>
                <c:ptCount val="39"/>
                <c:pt idx="30" formatCode="_(* #,##0_);_(* \(#,##0\);_(* &quot;-&quot;??_);_(@_)">
                  <c:v>550000</c:v>
                </c:pt>
                <c:pt idx="31" formatCode="_(* #,##0_);_(* \(#,##0\);_(* &quot;-&quot;??_);_(@_)">
                  <c:v>558597.60342064803</c:v>
                </c:pt>
                <c:pt idx="32" formatCode="_(* #,##0_);_(* \(#,##0\);_(* &quot;-&quot;??_);_(@_)">
                  <c:v>566927.49537003471</c:v>
                </c:pt>
                <c:pt idx="33" formatCode="_(* #,##0_);_(* \(#,##0\);_(* &quot;-&quot;??_);_(@_)">
                  <c:v>575257.38731942116</c:v>
                </c:pt>
                <c:pt idx="34" formatCode="_(* #,##0_);_(* \(#,##0\);_(* &quot;-&quot;??_);_(@_)">
                  <c:v>583587.27926880773</c:v>
                </c:pt>
                <c:pt idx="35" formatCode="_(* #,##0_);_(* \(#,##0\);_(* &quot;-&quot;??_);_(@_)">
                  <c:v>591917.1712181943</c:v>
                </c:pt>
                <c:pt idx="36" formatCode="_(* #,##0_);_(* \(#,##0\);_(* &quot;-&quot;??_);_(@_)">
                  <c:v>600247.06316758087</c:v>
                </c:pt>
                <c:pt idx="37" formatCode="_(* #,##0_);_(* \(#,##0\);_(* &quot;-&quot;??_);_(@_)">
                  <c:v>608576.95511696732</c:v>
                </c:pt>
                <c:pt idx="38" formatCode="_(* #,##0_);_(* \(#,##0\);_(* &quot;-&quot;??_);_(@_)">
                  <c:v>616906.84706635401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D-43EF-A6DB-175240779CBE}"/>
            </c:ext>
          </c:extLst>
        </c:ser>
        <c:ser>
          <c:idx val="2"/>
          <c:order val="2"/>
          <c:tx>
            <c:strRef>
              <c:f>'Revenue Forecast'!$D$1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'Revenue Forecast'!$A$2:$A$40</c:f>
              <c:numCache>
                <c:formatCode>_(* #,##0_);_(* \(#,##0\);_(* "-"??_);_(@_)</c:formatCode>
                <c:ptCount val="39"/>
                <c:pt idx="0">
                  <c:v>306000</c:v>
                </c:pt>
                <c:pt idx="1">
                  <c:v>314000</c:v>
                </c:pt>
                <c:pt idx="2">
                  <c:v>317000</c:v>
                </c:pt>
                <c:pt idx="3">
                  <c:v>325000</c:v>
                </c:pt>
                <c:pt idx="4">
                  <c:v>335000</c:v>
                </c:pt>
                <c:pt idx="5">
                  <c:v>343000</c:v>
                </c:pt>
                <c:pt idx="6">
                  <c:v>353000</c:v>
                </c:pt>
                <c:pt idx="7">
                  <c:v>361000</c:v>
                </c:pt>
                <c:pt idx="8">
                  <c:v>370000</c:v>
                </c:pt>
                <c:pt idx="9">
                  <c:v>378000</c:v>
                </c:pt>
                <c:pt idx="10">
                  <c:v>387000</c:v>
                </c:pt>
                <c:pt idx="11">
                  <c:v>395000</c:v>
                </c:pt>
                <c:pt idx="12">
                  <c:v>404000</c:v>
                </c:pt>
                <c:pt idx="13">
                  <c:v>412000</c:v>
                </c:pt>
                <c:pt idx="14">
                  <c:v>421000</c:v>
                </c:pt>
                <c:pt idx="15">
                  <c:v>429000</c:v>
                </c:pt>
                <c:pt idx="16">
                  <c:v>438000</c:v>
                </c:pt>
                <c:pt idx="17">
                  <c:v>446000</c:v>
                </c:pt>
                <c:pt idx="18">
                  <c:v>455000</c:v>
                </c:pt>
                <c:pt idx="19">
                  <c:v>463000</c:v>
                </c:pt>
                <c:pt idx="20">
                  <c:v>471195.7671957672</c:v>
                </c:pt>
                <c:pt idx="21">
                  <c:v>479391.5343915344</c:v>
                </c:pt>
                <c:pt idx="22">
                  <c:v>487587.3015873016</c:v>
                </c:pt>
                <c:pt idx="23">
                  <c:v>495783.0687830688</c:v>
                </c:pt>
                <c:pt idx="24">
                  <c:v>503978.835978836</c:v>
                </c:pt>
                <c:pt idx="25">
                  <c:v>512174.60317460319</c:v>
                </c:pt>
                <c:pt idx="26">
                  <c:v>520370.37037037039</c:v>
                </c:pt>
                <c:pt idx="27">
                  <c:v>532000</c:v>
                </c:pt>
                <c:pt idx="28">
                  <c:v>536761.90476190485</c:v>
                </c:pt>
                <c:pt idx="29">
                  <c:v>544957.67195767199</c:v>
                </c:pt>
                <c:pt idx="30">
                  <c:v>550000</c:v>
                </c:pt>
                <c:pt idx="31">
                  <c:v>558195.76719576714</c:v>
                </c:pt>
                <c:pt idx="32">
                  <c:v>566391.5343915344</c:v>
                </c:pt>
                <c:pt idx="33">
                  <c:v>574587.30158730154</c:v>
                </c:pt>
                <c:pt idx="34">
                  <c:v>582783.0687830688</c:v>
                </c:pt>
                <c:pt idx="35">
                  <c:v>590978.83597883594</c:v>
                </c:pt>
                <c:pt idx="36">
                  <c:v>599174.60317460319</c:v>
                </c:pt>
                <c:pt idx="37">
                  <c:v>607370.37037037034</c:v>
                </c:pt>
                <c:pt idx="38">
                  <c:v>615566.13756613759</c:v>
                </c:pt>
              </c:numCache>
            </c:numRef>
          </c:cat>
          <c:val>
            <c:numRef>
              <c:f>'Revenue Forecast'!$D$2:$D$40</c:f>
              <c:numCache>
                <c:formatCode>General</c:formatCode>
                <c:ptCount val="39"/>
                <c:pt idx="30" formatCode="_(* #,##0_);_(* \(#,##0\);_(* &quot;-&quot;??_);_(@_)">
                  <c:v>550000</c:v>
                </c:pt>
                <c:pt idx="31" formatCode="_(* #,##0_);_(* \(#,##0\);_(* &quot;-&quot;??_);_(@_)">
                  <c:v>555923.05164663703</c:v>
                </c:pt>
                <c:pt idx="32" formatCode="_(* #,##0_);_(* \(#,##0\);_(* &quot;-&quot;??_);_(@_)">
                  <c:v>563325.68760050449</c:v>
                </c:pt>
                <c:pt idx="33" formatCode="_(* #,##0_);_(* \(#,##0\);_(* &quot;-&quot;??_);_(@_)">
                  <c:v>570922.336188833</c:v>
                </c:pt>
                <c:pt idx="34" formatCode="_(* #,##0_);_(* \(#,##0\);_(* &quot;-&quot;??_);_(@_)">
                  <c:v>578624.91027929087</c:v>
                </c:pt>
                <c:pt idx="35" formatCode="_(* #,##0_);_(* \(#,##0\);_(* &quot;-&quot;??_);_(@_)">
                  <c:v>586397.17608295474</c:v>
                </c:pt>
                <c:pt idx="36" formatCode="_(* #,##0_);_(* \(#,##0\);_(* &quot;-&quot;??_);_(@_)">
                  <c:v>594219.75835911359</c:v>
                </c:pt>
                <c:pt idx="37" formatCode="_(* #,##0_);_(* \(#,##0\);_(* &quot;-&quot;??_);_(@_)">
                  <c:v>602080.85698763316</c:v>
                </c:pt>
                <c:pt idx="38" formatCode="_(* #,##0_);_(* \(#,##0\);_(* &quot;-&quot;??_);_(@_)">
                  <c:v>609972.65473538474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D-43EF-A6DB-175240779CBE}"/>
            </c:ext>
          </c:extLst>
        </c:ser>
        <c:ser>
          <c:idx val="3"/>
          <c:order val="3"/>
          <c:tx>
            <c:strRef>
              <c:f>'Revenue Forecast'!$E$1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'Revenue Forecast'!$A$2:$A$40</c:f>
              <c:numCache>
                <c:formatCode>_(* #,##0_);_(* \(#,##0\);_(* "-"??_);_(@_)</c:formatCode>
                <c:ptCount val="39"/>
                <c:pt idx="0">
                  <c:v>306000</c:v>
                </c:pt>
                <c:pt idx="1">
                  <c:v>314000</c:v>
                </c:pt>
                <c:pt idx="2">
                  <c:v>317000</c:v>
                </c:pt>
                <c:pt idx="3">
                  <c:v>325000</c:v>
                </c:pt>
                <c:pt idx="4">
                  <c:v>335000</c:v>
                </c:pt>
                <c:pt idx="5">
                  <c:v>343000</c:v>
                </c:pt>
                <c:pt idx="6">
                  <c:v>353000</c:v>
                </c:pt>
                <c:pt idx="7">
                  <c:v>361000</c:v>
                </c:pt>
                <c:pt idx="8">
                  <c:v>370000</c:v>
                </c:pt>
                <c:pt idx="9">
                  <c:v>378000</c:v>
                </c:pt>
                <c:pt idx="10">
                  <c:v>387000</c:v>
                </c:pt>
                <c:pt idx="11">
                  <c:v>395000</c:v>
                </c:pt>
                <c:pt idx="12">
                  <c:v>404000</c:v>
                </c:pt>
                <c:pt idx="13">
                  <c:v>412000</c:v>
                </c:pt>
                <c:pt idx="14">
                  <c:v>421000</c:v>
                </c:pt>
                <c:pt idx="15">
                  <c:v>429000</c:v>
                </c:pt>
                <c:pt idx="16">
                  <c:v>438000</c:v>
                </c:pt>
                <c:pt idx="17">
                  <c:v>446000</c:v>
                </c:pt>
                <c:pt idx="18">
                  <c:v>455000</c:v>
                </c:pt>
                <c:pt idx="19">
                  <c:v>463000</c:v>
                </c:pt>
                <c:pt idx="20">
                  <c:v>471195.7671957672</c:v>
                </c:pt>
                <c:pt idx="21">
                  <c:v>479391.5343915344</c:v>
                </c:pt>
                <c:pt idx="22">
                  <c:v>487587.3015873016</c:v>
                </c:pt>
                <c:pt idx="23">
                  <c:v>495783.0687830688</c:v>
                </c:pt>
                <c:pt idx="24">
                  <c:v>503978.835978836</c:v>
                </c:pt>
                <c:pt idx="25">
                  <c:v>512174.60317460319</c:v>
                </c:pt>
                <c:pt idx="26">
                  <c:v>520370.37037037039</c:v>
                </c:pt>
                <c:pt idx="27">
                  <c:v>532000</c:v>
                </c:pt>
                <c:pt idx="28">
                  <c:v>536761.90476190485</c:v>
                </c:pt>
                <c:pt idx="29">
                  <c:v>544957.67195767199</c:v>
                </c:pt>
                <c:pt idx="30">
                  <c:v>550000</c:v>
                </c:pt>
                <c:pt idx="31">
                  <c:v>558195.76719576714</c:v>
                </c:pt>
                <c:pt idx="32">
                  <c:v>566391.5343915344</c:v>
                </c:pt>
                <c:pt idx="33">
                  <c:v>574587.30158730154</c:v>
                </c:pt>
                <c:pt idx="34">
                  <c:v>582783.0687830688</c:v>
                </c:pt>
                <c:pt idx="35">
                  <c:v>590978.83597883594</c:v>
                </c:pt>
                <c:pt idx="36">
                  <c:v>599174.60317460319</c:v>
                </c:pt>
                <c:pt idx="37">
                  <c:v>607370.37037037034</c:v>
                </c:pt>
                <c:pt idx="38">
                  <c:v>615566.13756613759</c:v>
                </c:pt>
              </c:numCache>
            </c:numRef>
          </c:cat>
          <c:val>
            <c:numRef>
              <c:f>'Revenue Forecast'!$E$2:$E$40</c:f>
              <c:numCache>
                <c:formatCode>General</c:formatCode>
                <c:ptCount val="39"/>
                <c:pt idx="30" formatCode="_(* #,##0_);_(* \(#,##0\);_(* &quot;-&quot;??_);_(@_)">
                  <c:v>550000</c:v>
                </c:pt>
                <c:pt idx="31" formatCode="_(* #,##0_);_(* \(#,##0\);_(* &quot;-&quot;??_);_(@_)">
                  <c:v>561272.15519465902</c:v>
                </c:pt>
                <c:pt idx="32" formatCode="_(* #,##0_);_(* \(#,##0\);_(* &quot;-&quot;??_);_(@_)">
                  <c:v>570529.30313956493</c:v>
                </c:pt>
                <c:pt idx="33" formatCode="_(* #,##0_);_(* \(#,##0\);_(* &quot;-&quot;??_);_(@_)">
                  <c:v>579592.43845000933</c:v>
                </c:pt>
                <c:pt idx="34" formatCode="_(* #,##0_);_(* \(#,##0\);_(* &quot;-&quot;??_);_(@_)">
                  <c:v>588549.6482583246</c:v>
                </c:pt>
                <c:pt idx="35" formatCode="_(* #,##0_);_(* \(#,##0\);_(* &quot;-&quot;??_);_(@_)">
                  <c:v>597437.16635343386</c:v>
                </c:pt>
                <c:pt idx="36" formatCode="_(* #,##0_);_(* \(#,##0\);_(* &quot;-&quot;??_);_(@_)">
                  <c:v>606274.36797604815</c:v>
                </c:pt>
                <c:pt idx="37" formatCode="_(* #,##0_);_(* \(#,##0\);_(* &quot;-&quot;??_);_(@_)">
                  <c:v>615073.05324630148</c:v>
                </c:pt>
                <c:pt idx="38" formatCode="_(* #,##0_);_(* \(#,##0\);_(* &quot;-&quot;??_);_(@_)">
                  <c:v>623841.03939732327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2D-43EF-A6DB-175240779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85999"/>
        <c:axId val="481486479"/>
      </c:lineChart>
      <c:catAx>
        <c:axId val="48148599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86479"/>
        <c:crosses val="autoZero"/>
        <c:auto val="1"/>
        <c:lblAlgn val="ctr"/>
        <c:lblOffset val="100"/>
        <c:noMultiLvlLbl val="0"/>
      </c:catAx>
      <c:valAx>
        <c:axId val="48148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8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625117</xdr:colOff>
      <xdr:row>1</xdr:row>
      <xdr:rowOff>93102</xdr:rowOff>
    </xdr:from>
    <xdr:to>
      <xdr:col>24</xdr:col>
      <xdr:colOff>13301</xdr:colOff>
      <xdr:row>45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F8BD3-2ED5-73B9-026C-25A51331A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5D12D-7B5B-475B-9F35-DE12083CF290}" name="Table1" displayName="Table1" ref="A1:E40" totalsRowShown="0">
  <autoFilter ref="A1:E40" xr:uid="{58E5D12D-7B5B-475B-9F35-DE12083CF290}"/>
  <tableColumns count="5">
    <tableColumn id="1" xr3:uid="{8E952683-E43E-4A59-BA9B-BD9841BE2B2B}" name="Timeline" dataDxfId="3"/>
    <tableColumn id="2" xr3:uid="{8F2FF129-B5B9-4EDD-81E0-2959B7E6070A}" name="Values"/>
    <tableColumn id="3" xr3:uid="{17DE5DE4-CCFC-4920-87E5-4282847C306D}" name="Forecast" dataDxfId="2">
      <calculatedColumnFormula>_xlfn.FORECAST.ETS(A2,$B$2:$B$32,$A$2:$A$32,1,1)</calculatedColumnFormula>
    </tableColumn>
    <tableColumn id="4" xr3:uid="{03E1176B-2C8C-46B5-96D4-95E4E98A57DC}" name="Lower Confidence Bound" dataDxfId="1">
      <calculatedColumnFormula>C2-_xlfn.FORECAST.ETS.CONFINT(A2,$B$2:$B$32,$A$2:$A$32,0.95,1,1)</calculatedColumnFormula>
    </tableColumn>
    <tableColumn id="5" xr3:uid="{F5761510-3403-404D-AB51-198F32A9C4DD}" name="Upper Confidence Bound" dataDxfId="0">
      <calculatedColumnFormula>C2+_xlfn.FORECAST.ETS.CONFINT(A2,$B$2:$B$32,$A$2:$A$32,0.95,1,1)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A95B-AAE9-4634-93EF-7DC9ED24C483}">
  <dimension ref="A1:AI27"/>
  <sheetViews>
    <sheetView topLeftCell="A7" workbookViewId="0">
      <selection activeCell="Y29" sqref="Y29"/>
    </sheetView>
  </sheetViews>
  <sheetFormatPr defaultRowHeight="14.4" x14ac:dyDescent="0.3"/>
  <cols>
    <col min="1" max="1" width="23.8984375" bestFit="1" customWidth="1"/>
    <col min="2" max="25" width="11.3984375" style="3" bestFit="1" customWidth="1"/>
    <col min="26" max="35" width="9" style="3" bestFit="1" customWidth="1"/>
  </cols>
  <sheetData>
    <row r="1" spans="1:35" x14ac:dyDescent="0.3">
      <c r="A1" t="s">
        <v>55</v>
      </c>
      <c r="Z1"/>
      <c r="AA1"/>
      <c r="AB1"/>
      <c r="AC1"/>
      <c r="AD1"/>
      <c r="AE1"/>
      <c r="AF1"/>
      <c r="AG1"/>
      <c r="AH1"/>
      <c r="AI1"/>
    </row>
    <row r="2" spans="1:35" x14ac:dyDescent="0.3">
      <c r="Z2" s="18" t="s">
        <v>46</v>
      </c>
      <c r="AA2" s="18"/>
      <c r="AB2" s="18"/>
      <c r="AC2" s="18"/>
      <c r="AD2" s="18"/>
      <c r="AE2" s="18"/>
      <c r="AF2" s="18"/>
      <c r="AG2" s="18"/>
      <c r="AH2" s="18"/>
      <c r="AI2" s="18"/>
    </row>
    <row r="3" spans="1:35" x14ac:dyDescent="0.3">
      <c r="A3" s="2" t="s">
        <v>34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4" t="s">
        <v>24</v>
      </c>
      <c r="Q3" s="4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36</v>
      </c>
      <c r="AA3" s="4" t="s">
        <v>37</v>
      </c>
      <c r="AB3" s="4" t="s">
        <v>38</v>
      </c>
      <c r="AC3" s="4" t="s">
        <v>39</v>
      </c>
      <c r="AD3" s="4" t="s">
        <v>40</v>
      </c>
      <c r="AE3" s="4" t="s">
        <v>41</v>
      </c>
      <c r="AF3" s="4" t="s">
        <v>42</v>
      </c>
      <c r="AG3" s="4" t="s">
        <v>43</v>
      </c>
      <c r="AH3" s="4" t="s">
        <v>44</v>
      </c>
      <c r="AI3" s="4" t="s">
        <v>45</v>
      </c>
    </row>
    <row r="4" spans="1:35" x14ac:dyDescent="0.3">
      <c r="A4" s="1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5" x14ac:dyDescent="0.3">
      <c r="A5" s="7" t="s">
        <v>47</v>
      </c>
      <c r="B5" s="5">
        <v>180000</v>
      </c>
      <c r="C5" s="5">
        <v>175000</v>
      </c>
      <c r="D5" s="5">
        <v>190000</v>
      </c>
      <c r="E5" s="5">
        <v>200000</v>
      </c>
      <c r="F5" s="5">
        <v>210000</v>
      </c>
      <c r="G5" s="5">
        <v>220000</v>
      </c>
      <c r="H5" s="5">
        <v>230000</v>
      </c>
      <c r="I5" s="5">
        <v>225000</v>
      </c>
      <c r="J5" s="5">
        <v>240000</v>
      </c>
      <c r="K5" s="5">
        <v>250000</v>
      </c>
      <c r="L5" s="5">
        <v>260000</v>
      </c>
      <c r="M5" s="5">
        <v>300000</v>
      </c>
      <c r="N5" s="5">
        <v>185000</v>
      </c>
      <c r="O5" s="5">
        <v>180000</v>
      </c>
      <c r="P5" s="5">
        <v>195000</v>
      </c>
      <c r="Q5" s="5">
        <v>205000</v>
      </c>
      <c r="R5" s="5">
        <v>215000</v>
      </c>
      <c r="S5" s="5">
        <v>225000</v>
      </c>
      <c r="T5" s="5">
        <v>235000</v>
      </c>
      <c r="U5" s="5">
        <v>230000</v>
      </c>
      <c r="V5" s="5">
        <v>245000</v>
      </c>
      <c r="W5" s="5">
        <v>255000</v>
      </c>
      <c r="X5" s="5">
        <v>265000</v>
      </c>
      <c r="Y5" s="5">
        <v>310000</v>
      </c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1:35" x14ac:dyDescent="0.3">
      <c r="A6" s="7" t="s">
        <v>48</v>
      </c>
      <c r="B6" s="5">
        <v>65000</v>
      </c>
      <c r="C6" s="5">
        <v>63000</v>
      </c>
      <c r="D6" s="5">
        <v>68000</v>
      </c>
      <c r="E6" s="5">
        <v>70000</v>
      </c>
      <c r="F6" s="5">
        <v>72000</v>
      </c>
      <c r="G6" s="5">
        <v>75000</v>
      </c>
      <c r="H6" s="5">
        <v>78000</v>
      </c>
      <c r="I6" s="5">
        <v>76000</v>
      </c>
      <c r="J6" s="5">
        <v>80000</v>
      </c>
      <c r="K6" s="5">
        <v>83000</v>
      </c>
      <c r="L6" s="5">
        <v>85000</v>
      </c>
      <c r="M6" s="5">
        <v>95000</v>
      </c>
      <c r="N6" s="5">
        <v>66000</v>
      </c>
      <c r="O6" s="5">
        <v>64000</v>
      </c>
      <c r="P6" s="5">
        <v>69000</v>
      </c>
      <c r="Q6" s="5">
        <v>71000</v>
      </c>
      <c r="R6" s="5">
        <v>73000</v>
      </c>
      <c r="S6" s="5">
        <v>76000</v>
      </c>
      <c r="T6" s="5">
        <v>79000</v>
      </c>
      <c r="U6" s="5">
        <v>77000</v>
      </c>
      <c r="V6" s="5">
        <v>81000</v>
      </c>
      <c r="W6" s="5">
        <v>84000</v>
      </c>
      <c r="X6" s="5">
        <v>86000</v>
      </c>
      <c r="Y6" s="5">
        <v>98000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spans="1:35" x14ac:dyDescent="0.3">
      <c r="A7" s="7" t="s">
        <v>49</v>
      </c>
      <c r="B7" s="5">
        <v>42000</v>
      </c>
      <c r="C7" s="5">
        <v>40000</v>
      </c>
      <c r="D7" s="5">
        <v>45000</v>
      </c>
      <c r="E7" s="5">
        <v>48000</v>
      </c>
      <c r="F7" s="5">
        <v>50000</v>
      </c>
      <c r="G7" s="5">
        <v>52000</v>
      </c>
      <c r="H7" s="5">
        <v>54000</v>
      </c>
      <c r="I7" s="5">
        <v>53000</v>
      </c>
      <c r="J7" s="5">
        <v>56000</v>
      </c>
      <c r="K7" s="5">
        <v>58000</v>
      </c>
      <c r="L7" s="5">
        <v>60000</v>
      </c>
      <c r="M7" s="5">
        <v>72000</v>
      </c>
      <c r="N7" s="5">
        <v>43000</v>
      </c>
      <c r="O7" s="5">
        <v>41000</v>
      </c>
      <c r="P7" s="5">
        <v>46000</v>
      </c>
      <c r="Q7" s="5">
        <v>49000</v>
      </c>
      <c r="R7" s="5">
        <v>51000</v>
      </c>
      <c r="S7" s="5">
        <v>53000</v>
      </c>
      <c r="T7" s="5">
        <v>55000</v>
      </c>
      <c r="U7" s="5">
        <v>54000</v>
      </c>
      <c r="V7" s="5">
        <v>57000</v>
      </c>
      <c r="W7" s="5">
        <v>59000</v>
      </c>
      <c r="X7" s="5">
        <v>61000</v>
      </c>
      <c r="Y7" s="5">
        <v>74000</v>
      </c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 x14ac:dyDescent="0.3">
      <c r="A8" s="7" t="s">
        <v>50</v>
      </c>
      <c r="B8" s="5">
        <v>30000</v>
      </c>
      <c r="C8" s="5">
        <v>28000</v>
      </c>
      <c r="D8" s="5">
        <v>32000</v>
      </c>
      <c r="E8" s="5">
        <v>35000</v>
      </c>
      <c r="F8" s="5">
        <v>38000</v>
      </c>
      <c r="G8" s="5">
        <v>40000</v>
      </c>
      <c r="H8" s="5">
        <v>42000</v>
      </c>
      <c r="I8" s="5">
        <v>41000</v>
      </c>
      <c r="J8" s="5">
        <v>45000</v>
      </c>
      <c r="K8" s="5">
        <v>47000</v>
      </c>
      <c r="L8" s="5">
        <v>50000</v>
      </c>
      <c r="M8" s="5">
        <v>65000</v>
      </c>
      <c r="N8" s="5">
        <v>31000</v>
      </c>
      <c r="O8" s="5">
        <v>29000</v>
      </c>
      <c r="P8" s="5">
        <v>33000</v>
      </c>
      <c r="Q8" s="5">
        <v>36000</v>
      </c>
      <c r="R8" s="5">
        <v>39000</v>
      </c>
      <c r="S8" s="5">
        <v>41000</v>
      </c>
      <c r="T8" s="5">
        <v>43000</v>
      </c>
      <c r="U8" s="5">
        <v>42000</v>
      </c>
      <c r="V8" s="5">
        <v>46000</v>
      </c>
      <c r="W8" s="5">
        <v>48000</v>
      </c>
      <c r="X8" s="5">
        <v>51000</v>
      </c>
      <c r="Y8" s="5">
        <v>68000</v>
      </c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spans="1:35" x14ac:dyDescent="0.3">
      <c r="A9" s="8" t="s">
        <v>35</v>
      </c>
      <c r="B9" s="10">
        <f>SUM(B5:B8)</f>
        <v>317000</v>
      </c>
      <c r="C9" s="10">
        <f t="shared" ref="C9:Y9" si="0">SUM(C5:C8)</f>
        <v>306000</v>
      </c>
      <c r="D9" s="10">
        <f t="shared" si="0"/>
        <v>335000</v>
      </c>
      <c r="E9" s="10">
        <f t="shared" si="0"/>
        <v>353000</v>
      </c>
      <c r="F9" s="10">
        <f t="shared" si="0"/>
        <v>370000</v>
      </c>
      <c r="G9" s="10">
        <f t="shared" si="0"/>
        <v>387000</v>
      </c>
      <c r="H9" s="10">
        <f t="shared" si="0"/>
        <v>404000</v>
      </c>
      <c r="I9" s="10">
        <f t="shared" si="0"/>
        <v>395000</v>
      </c>
      <c r="J9" s="10">
        <f t="shared" si="0"/>
        <v>421000</v>
      </c>
      <c r="K9" s="10">
        <f t="shared" si="0"/>
        <v>438000</v>
      </c>
      <c r="L9" s="10">
        <f t="shared" si="0"/>
        <v>455000</v>
      </c>
      <c r="M9" s="10">
        <f t="shared" si="0"/>
        <v>532000</v>
      </c>
      <c r="N9" s="10">
        <f t="shared" si="0"/>
        <v>325000</v>
      </c>
      <c r="O9" s="10">
        <f t="shared" si="0"/>
        <v>314000</v>
      </c>
      <c r="P9" s="10">
        <f t="shared" si="0"/>
        <v>343000</v>
      </c>
      <c r="Q9" s="10">
        <f t="shared" si="0"/>
        <v>361000</v>
      </c>
      <c r="R9" s="10">
        <f t="shared" si="0"/>
        <v>378000</v>
      </c>
      <c r="S9" s="10">
        <f t="shared" si="0"/>
        <v>395000</v>
      </c>
      <c r="T9" s="10">
        <f t="shared" si="0"/>
        <v>412000</v>
      </c>
      <c r="U9" s="10">
        <f t="shared" si="0"/>
        <v>403000</v>
      </c>
      <c r="V9" s="10">
        <f t="shared" si="0"/>
        <v>429000</v>
      </c>
      <c r="W9" s="10">
        <f t="shared" si="0"/>
        <v>446000</v>
      </c>
      <c r="X9" s="10">
        <f t="shared" si="0"/>
        <v>463000</v>
      </c>
      <c r="Y9" s="10">
        <f t="shared" si="0"/>
        <v>550000</v>
      </c>
      <c r="Z9" s="16">
        <f t="shared" ref="Z9" si="1">SUM(Z5:Z8)</f>
        <v>0</v>
      </c>
      <c r="AA9" s="16">
        <f t="shared" ref="AA9" si="2">SUM(AA5:AA8)</f>
        <v>0</v>
      </c>
      <c r="AB9" s="16">
        <f t="shared" ref="AB9" si="3">SUM(AB5:AB8)</f>
        <v>0</v>
      </c>
      <c r="AC9" s="16">
        <f t="shared" ref="AC9" si="4">SUM(AC5:AC8)</f>
        <v>0</v>
      </c>
      <c r="AD9" s="16">
        <f t="shared" ref="AD9" si="5">SUM(AD5:AD8)</f>
        <v>0</v>
      </c>
      <c r="AE9" s="16">
        <f t="shared" ref="AE9" si="6">SUM(AE5:AE8)</f>
        <v>0</v>
      </c>
      <c r="AF9" s="16">
        <f t="shared" ref="AF9" si="7">SUM(AF5:AF8)</f>
        <v>0</v>
      </c>
      <c r="AG9" s="16">
        <f t="shared" ref="AG9" si="8">SUM(AG5:AG8)</f>
        <v>0</v>
      </c>
      <c r="AH9" s="16">
        <f t="shared" ref="AH9" si="9">SUM(AH5:AH8)</f>
        <v>0</v>
      </c>
      <c r="AI9" s="16">
        <f t="shared" ref="AI9" si="10">SUM(AI5:AI8)</f>
        <v>0</v>
      </c>
    </row>
    <row r="10" spans="1:35" x14ac:dyDescent="0.3">
      <c r="A10" s="1" t="s">
        <v>51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 x14ac:dyDescent="0.3">
      <c r="A11" s="7" t="s">
        <v>47</v>
      </c>
      <c r="B11" s="5">
        <v>72000</v>
      </c>
      <c r="C11" s="5">
        <v>70000</v>
      </c>
      <c r="D11" s="5">
        <v>76000</v>
      </c>
      <c r="E11" s="5">
        <v>80000</v>
      </c>
      <c r="F11" s="5">
        <v>84000</v>
      </c>
      <c r="G11" s="5">
        <v>88000</v>
      </c>
      <c r="H11" s="5">
        <v>92000</v>
      </c>
      <c r="I11" s="5">
        <v>90000</v>
      </c>
      <c r="J11" s="5">
        <v>96000</v>
      </c>
      <c r="K11" s="5">
        <v>100000</v>
      </c>
      <c r="L11" s="5">
        <v>104000</v>
      </c>
      <c r="M11" s="5">
        <v>120000</v>
      </c>
      <c r="N11" s="5">
        <v>74000</v>
      </c>
      <c r="O11" s="5">
        <v>72000</v>
      </c>
      <c r="P11" s="5">
        <v>78000</v>
      </c>
      <c r="Q11" s="5">
        <v>82000</v>
      </c>
      <c r="R11" s="5">
        <v>86000</v>
      </c>
      <c r="S11" s="5">
        <v>90000</v>
      </c>
      <c r="T11" s="5">
        <v>94000</v>
      </c>
      <c r="U11" s="5">
        <v>92000</v>
      </c>
      <c r="V11" s="5">
        <v>98000</v>
      </c>
      <c r="W11" s="5">
        <v>102000</v>
      </c>
      <c r="X11" s="5">
        <v>106000</v>
      </c>
      <c r="Y11" s="5">
        <v>124000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 x14ac:dyDescent="0.3">
      <c r="A12" s="7" t="s">
        <v>48</v>
      </c>
      <c r="B12" s="5">
        <v>19500</v>
      </c>
      <c r="C12" s="5">
        <v>18900</v>
      </c>
      <c r="D12" s="5">
        <v>20400</v>
      </c>
      <c r="E12" s="5">
        <v>21000</v>
      </c>
      <c r="F12" s="5">
        <v>21600</v>
      </c>
      <c r="G12" s="5">
        <v>22500</v>
      </c>
      <c r="H12" s="5">
        <v>23400</v>
      </c>
      <c r="I12" s="5">
        <v>22800</v>
      </c>
      <c r="J12" s="5">
        <v>24000</v>
      </c>
      <c r="K12" s="5">
        <v>24900</v>
      </c>
      <c r="L12" s="5">
        <v>25500</v>
      </c>
      <c r="M12" s="5">
        <v>28500</v>
      </c>
      <c r="N12" s="5">
        <v>19800</v>
      </c>
      <c r="O12" s="5">
        <v>19200</v>
      </c>
      <c r="P12" s="5">
        <v>20700</v>
      </c>
      <c r="Q12" s="5">
        <v>21300</v>
      </c>
      <c r="R12" s="5">
        <v>21900</v>
      </c>
      <c r="S12" s="5">
        <v>22800</v>
      </c>
      <c r="T12" s="5">
        <v>23700</v>
      </c>
      <c r="U12" s="5">
        <v>23100</v>
      </c>
      <c r="V12" s="5">
        <v>24300</v>
      </c>
      <c r="W12" s="5">
        <v>25200</v>
      </c>
      <c r="X12" s="5">
        <v>25800</v>
      </c>
      <c r="Y12" s="5">
        <v>29400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 x14ac:dyDescent="0.3">
      <c r="A13" s="7" t="s">
        <v>49</v>
      </c>
      <c r="B13" s="5">
        <v>13859.999999999998</v>
      </c>
      <c r="C13" s="5">
        <v>15600</v>
      </c>
      <c r="D13" s="5">
        <v>13500.000000000002</v>
      </c>
      <c r="E13" s="5">
        <v>16800</v>
      </c>
      <c r="F13" s="5">
        <v>13500</v>
      </c>
      <c r="G13" s="5">
        <v>14560.000000000002</v>
      </c>
      <c r="H13" s="5">
        <v>21600</v>
      </c>
      <c r="I13" s="5">
        <v>18550</v>
      </c>
      <c r="J13" s="5">
        <v>19040</v>
      </c>
      <c r="K13" s="5">
        <v>13920</v>
      </c>
      <c r="L13" s="5">
        <v>20399.999999999996</v>
      </c>
      <c r="M13" s="5">
        <v>23759.999999999996</v>
      </c>
      <c r="N13" s="5">
        <v>15910</v>
      </c>
      <c r="O13" s="5">
        <v>11070</v>
      </c>
      <c r="P13" s="5">
        <v>10580</v>
      </c>
      <c r="Q13" s="5">
        <v>19600</v>
      </c>
      <c r="R13" s="5">
        <v>14790.000000000002</v>
      </c>
      <c r="S13" s="5">
        <v>18020</v>
      </c>
      <c r="T13" s="5">
        <v>20900</v>
      </c>
      <c r="U13" s="5">
        <v>19440</v>
      </c>
      <c r="V13" s="5">
        <v>20520</v>
      </c>
      <c r="W13" s="5">
        <v>22420</v>
      </c>
      <c r="X13" s="5">
        <v>20739.999999999996</v>
      </c>
      <c r="Y13" s="5">
        <v>19980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 x14ac:dyDescent="0.3">
      <c r="A14" s="7" t="s">
        <v>50</v>
      </c>
      <c r="B14" s="5">
        <v>9899.9999999999982</v>
      </c>
      <c r="C14" s="5">
        <v>11200</v>
      </c>
      <c r="D14" s="5">
        <v>6399.9999999999982</v>
      </c>
      <c r="E14" s="5">
        <v>7699.9999999999991</v>
      </c>
      <c r="F14" s="5">
        <v>13300</v>
      </c>
      <c r="G14" s="5">
        <v>9200</v>
      </c>
      <c r="H14" s="5">
        <v>12180.000000000002</v>
      </c>
      <c r="I14" s="5">
        <v>8609.9999999999982</v>
      </c>
      <c r="J14" s="5">
        <v>14849.999999999998</v>
      </c>
      <c r="K14" s="5">
        <v>14100.000000000002</v>
      </c>
      <c r="L14" s="5">
        <v>19500</v>
      </c>
      <c r="M14" s="5">
        <v>16250</v>
      </c>
      <c r="N14" s="5">
        <v>9300.0000000000018</v>
      </c>
      <c r="O14" s="5">
        <v>8120.0000000000009</v>
      </c>
      <c r="P14" s="5">
        <v>6929.9999999999991</v>
      </c>
      <c r="Q14" s="5">
        <v>12600</v>
      </c>
      <c r="R14" s="5">
        <v>8970</v>
      </c>
      <c r="S14" s="5">
        <v>16400</v>
      </c>
      <c r="T14" s="5">
        <v>10320</v>
      </c>
      <c r="U14" s="5">
        <v>15960</v>
      </c>
      <c r="V14" s="5">
        <v>11500</v>
      </c>
      <c r="W14" s="5">
        <v>10079.999999999998</v>
      </c>
      <c r="X14" s="5">
        <v>17340</v>
      </c>
      <c r="Y14" s="5">
        <v>16320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 x14ac:dyDescent="0.3">
      <c r="A15" s="8" t="s">
        <v>51</v>
      </c>
      <c r="B15" s="9">
        <f>SUM(B11:B14)</f>
        <v>115260</v>
      </c>
      <c r="C15" s="9">
        <f t="shared" ref="C15:Y15" si="11">SUM(C11:C14)</f>
        <v>115700</v>
      </c>
      <c r="D15" s="9">
        <f t="shared" si="11"/>
        <v>116300</v>
      </c>
      <c r="E15" s="9">
        <f t="shared" si="11"/>
        <v>125500</v>
      </c>
      <c r="F15" s="9">
        <f t="shared" si="11"/>
        <v>132400</v>
      </c>
      <c r="G15" s="9">
        <f t="shared" si="11"/>
        <v>134260</v>
      </c>
      <c r="H15" s="9">
        <f t="shared" si="11"/>
        <v>149180</v>
      </c>
      <c r="I15" s="9">
        <f t="shared" si="11"/>
        <v>139960</v>
      </c>
      <c r="J15" s="9">
        <f t="shared" si="11"/>
        <v>153890</v>
      </c>
      <c r="K15" s="9">
        <f t="shared" si="11"/>
        <v>152920</v>
      </c>
      <c r="L15" s="9">
        <f t="shared" si="11"/>
        <v>169400</v>
      </c>
      <c r="M15" s="9">
        <f t="shared" si="11"/>
        <v>188510</v>
      </c>
      <c r="N15" s="9">
        <f t="shared" si="11"/>
        <v>119010</v>
      </c>
      <c r="O15" s="9">
        <f t="shared" si="11"/>
        <v>110390</v>
      </c>
      <c r="P15" s="9">
        <f t="shared" si="11"/>
        <v>116210</v>
      </c>
      <c r="Q15" s="9">
        <f t="shared" si="11"/>
        <v>135500</v>
      </c>
      <c r="R15" s="9">
        <f t="shared" si="11"/>
        <v>131660</v>
      </c>
      <c r="S15" s="9">
        <f t="shared" si="11"/>
        <v>147220</v>
      </c>
      <c r="T15" s="9">
        <f t="shared" si="11"/>
        <v>148920</v>
      </c>
      <c r="U15" s="9">
        <f t="shared" si="11"/>
        <v>150500</v>
      </c>
      <c r="V15" s="9">
        <f t="shared" si="11"/>
        <v>154320</v>
      </c>
      <c r="W15" s="9">
        <f t="shared" si="11"/>
        <v>159700</v>
      </c>
      <c r="X15" s="9">
        <f t="shared" si="11"/>
        <v>169880</v>
      </c>
      <c r="Y15" s="9">
        <f t="shared" si="11"/>
        <v>189700</v>
      </c>
      <c r="Z15" s="17">
        <f t="shared" ref="Z15" si="12">SUM(Z11:Z14)</f>
        <v>0</v>
      </c>
      <c r="AA15" s="17">
        <f t="shared" ref="AA15" si="13">SUM(AA11:AA14)</f>
        <v>0</v>
      </c>
      <c r="AB15" s="17">
        <f t="shared" ref="AB15" si="14">SUM(AB11:AB14)</f>
        <v>0</v>
      </c>
      <c r="AC15" s="17">
        <f t="shared" ref="AC15" si="15">SUM(AC11:AC14)</f>
        <v>0</v>
      </c>
      <c r="AD15" s="17">
        <f t="shared" ref="AD15" si="16">SUM(AD11:AD14)</f>
        <v>0</v>
      </c>
      <c r="AE15" s="17">
        <f t="shared" ref="AE15" si="17">SUM(AE11:AE14)</f>
        <v>0</v>
      </c>
      <c r="AF15" s="17">
        <f t="shared" ref="AF15" si="18">SUM(AF11:AF14)</f>
        <v>0</v>
      </c>
      <c r="AG15" s="17">
        <f t="shared" ref="AG15" si="19">SUM(AG11:AG14)</f>
        <v>0</v>
      </c>
      <c r="AH15" s="17">
        <f t="shared" ref="AH15" si="20">SUM(AH11:AH14)</f>
        <v>0</v>
      </c>
      <c r="AI15" s="17">
        <f t="shared" ref="AI15" si="21">SUM(AI11:AI14)</f>
        <v>0</v>
      </c>
    </row>
    <row r="16" spans="1:35" x14ac:dyDescent="0.3">
      <c r="A16" s="1" t="s">
        <v>52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 x14ac:dyDescent="0.3">
      <c r="A17" s="7" t="s">
        <v>0</v>
      </c>
      <c r="B17" s="5">
        <v>60000</v>
      </c>
      <c r="C17" s="5">
        <v>60000</v>
      </c>
      <c r="D17" s="5">
        <v>62000</v>
      </c>
      <c r="E17" s="5">
        <v>62000</v>
      </c>
      <c r="F17" s="5">
        <v>64000</v>
      </c>
      <c r="G17" s="5">
        <v>65000</v>
      </c>
      <c r="H17" s="5">
        <v>67000</v>
      </c>
      <c r="I17" s="5">
        <v>67000</v>
      </c>
      <c r="J17" s="5">
        <v>69000</v>
      </c>
      <c r="K17" s="5">
        <v>70000</v>
      </c>
      <c r="L17" s="5">
        <v>72000</v>
      </c>
      <c r="M17" s="5">
        <v>75000</v>
      </c>
      <c r="N17" s="5">
        <v>61000</v>
      </c>
      <c r="O17" s="5">
        <v>61000</v>
      </c>
      <c r="P17" s="5">
        <v>63000</v>
      </c>
      <c r="Q17" s="5">
        <v>64000</v>
      </c>
      <c r="R17" s="5">
        <v>66000</v>
      </c>
      <c r="S17" s="5">
        <v>67000</v>
      </c>
      <c r="T17" s="5">
        <v>69000</v>
      </c>
      <c r="U17" s="5">
        <v>69000</v>
      </c>
      <c r="V17" s="5">
        <v>71000</v>
      </c>
      <c r="W17" s="5">
        <v>72000</v>
      </c>
      <c r="X17" s="5">
        <v>74000</v>
      </c>
      <c r="Y17" s="5">
        <v>78000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 x14ac:dyDescent="0.3">
      <c r="A18" s="7" t="s">
        <v>1</v>
      </c>
      <c r="B18" s="5">
        <v>9000</v>
      </c>
      <c r="C18" s="5">
        <v>9000</v>
      </c>
      <c r="D18" s="5">
        <v>9300</v>
      </c>
      <c r="E18" s="5">
        <v>9300</v>
      </c>
      <c r="F18" s="5">
        <v>9600</v>
      </c>
      <c r="G18" s="5">
        <v>9750</v>
      </c>
      <c r="H18" s="5">
        <v>10050</v>
      </c>
      <c r="I18" s="5">
        <v>10050</v>
      </c>
      <c r="J18" s="5">
        <v>10350</v>
      </c>
      <c r="K18" s="5">
        <v>10500</v>
      </c>
      <c r="L18" s="5">
        <v>10800</v>
      </c>
      <c r="M18" s="5">
        <v>11250</v>
      </c>
      <c r="N18" s="5">
        <v>9150</v>
      </c>
      <c r="O18" s="5">
        <v>9150</v>
      </c>
      <c r="P18" s="5">
        <v>9450</v>
      </c>
      <c r="Q18" s="5">
        <v>9600</v>
      </c>
      <c r="R18" s="5">
        <v>9900</v>
      </c>
      <c r="S18" s="5">
        <v>10050</v>
      </c>
      <c r="T18" s="5">
        <v>10350</v>
      </c>
      <c r="U18" s="5">
        <v>10350</v>
      </c>
      <c r="V18" s="5">
        <v>10650</v>
      </c>
      <c r="W18" s="5">
        <v>10800</v>
      </c>
      <c r="X18" s="5">
        <v>11100</v>
      </c>
      <c r="Y18" s="5">
        <v>11700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 x14ac:dyDescent="0.3">
      <c r="A19" s="7" t="s">
        <v>2</v>
      </c>
      <c r="B19" s="5">
        <v>25000</v>
      </c>
      <c r="C19" s="5">
        <v>25000</v>
      </c>
      <c r="D19" s="5">
        <v>25000</v>
      </c>
      <c r="E19" s="5">
        <v>25000</v>
      </c>
      <c r="F19" s="5">
        <v>25000</v>
      </c>
      <c r="G19" s="5">
        <v>25000</v>
      </c>
      <c r="H19" s="5">
        <v>25000</v>
      </c>
      <c r="I19" s="5">
        <v>25000</v>
      </c>
      <c r="J19" s="5">
        <v>25000</v>
      </c>
      <c r="K19" s="5">
        <v>25000</v>
      </c>
      <c r="L19" s="5">
        <v>25000</v>
      </c>
      <c r="M19" s="5">
        <v>25000</v>
      </c>
      <c r="N19" s="5">
        <v>25500</v>
      </c>
      <c r="O19" s="5">
        <v>25500</v>
      </c>
      <c r="P19" s="5">
        <v>25500</v>
      </c>
      <c r="Q19" s="5">
        <v>25500</v>
      </c>
      <c r="R19" s="5">
        <v>25500</v>
      </c>
      <c r="S19" s="5">
        <v>25500</v>
      </c>
      <c r="T19" s="5">
        <v>25500</v>
      </c>
      <c r="U19" s="5">
        <v>25500</v>
      </c>
      <c r="V19" s="5">
        <v>25500</v>
      </c>
      <c r="W19" s="5">
        <v>25500</v>
      </c>
      <c r="X19" s="5">
        <v>25500</v>
      </c>
      <c r="Y19" s="5">
        <v>25500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x14ac:dyDescent="0.3">
      <c r="A20" s="7" t="s">
        <v>3</v>
      </c>
      <c r="B20" s="5">
        <v>7000</v>
      </c>
      <c r="C20" s="5">
        <v>6800</v>
      </c>
      <c r="D20" s="5">
        <v>7200</v>
      </c>
      <c r="E20" s="5">
        <v>7400</v>
      </c>
      <c r="F20" s="5">
        <v>7600</v>
      </c>
      <c r="G20" s="5">
        <v>7800</v>
      </c>
      <c r="H20" s="5">
        <v>8000</v>
      </c>
      <c r="I20" s="5">
        <v>7900</v>
      </c>
      <c r="J20" s="5">
        <v>8200</v>
      </c>
      <c r="K20" s="5">
        <v>8400</v>
      </c>
      <c r="L20" s="5">
        <v>8600</v>
      </c>
      <c r="M20" s="5">
        <v>9000</v>
      </c>
      <c r="N20" s="5">
        <v>7100</v>
      </c>
      <c r="O20" s="5">
        <v>6900</v>
      </c>
      <c r="P20" s="5">
        <v>7300</v>
      </c>
      <c r="Q20" s="5">
        <v>7500</v>
      </c>
      <c r="R20" s="5">
        <v>7700</v>
      </c>
      <c r="S20" s="5">
        <v>7900</v>
      </c>
      <c r="T20" s="5">
        <v>8100</v>
      </c>
      <c r="U20" s="5">
        <v>8000</v>
      </c>
      <c r="V20" s="5">
        <v>8300</v>
      </c>
      <c r="W20" s="5">
        <v>8500</v>
      </c>
      <c r="X20" s="5">
        <v>8700</v>
      </c>
      <c r="Y20" s="5">
        <v>9200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 x14ac:dyDescent="0.3">
      <c r="A21" s="7" t="s">
        <v>4</v>
      </c>
      <c r="B21" s="5">
        <v>6000</v>
      </c>
      <c r="C21" s="5">
        <v>5800</v>
      </c>
      <c r="D21" s="5">
        <v>6200</v>
      </c>
      <c r="E21" s="5">
        <v>6500</v>
      </c>
      <c r="F21" s="5">
        <v>7000</v>
      </c>
      <c r="G21" s="5">
        <v>7200</v>
      </c>
      <c r="H21" s="5">
        <v>7500</v>
      </c>
      <c r="I21" s="5">
        <v>7400</v>
      </c>
      <c r="J21" s="5">
        <v>7800</v>
      </c>
      <c r="K21" s="5">
        <v>8200</v>
      </c>
      <c r="L21" s="5">
        <v>9000</v>
      </c>
      <c r="M21" s="5">
        <v>11000</v>
      </c>
      <c r="N21" s="5">
        <v>6200</v>
      </c>
      <c r="O21" s="5">
        <v>6000</v>
      </c>
      <c r="P21" s="5">
        <v>6400</v>
      </c>
      <c r="Q21" s="5">
        <v>6700</v>
      </c>
      <c r="R21" s="5">
        <v>7100</v>
      </c>
      <c r="S21" s="5">
        <v>7400</v>
      </c>
      <c r="T21" s="5">
        <v>7700</v>
      </c>
      <c r="U21" s="5">
        <v>7600</v>
      </c>
      <c r="V21" s="5">
        <v>8000</v>
      </c>
      <c r="W21" s="5">
        <v>8400</v>
      </c>
      <c r="X21" s="5">
        <v>9200</v>
      </c>
      <c r="Y21" s="5">
        <v>11500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 x14ac:dyDescent="0.3">
      <c r="A22" s="7" t="s">
        <v>5</v>
      </c>
      <c r="B22" s="5">
        <v>10500</v>
      </c>
      <c r="C22" s="5">
        <v>10000</v>
      </c>
      <c r="D22" s="5">
        <v>11250</v>
      </c>
      <c r="E22" s="5">
        <v>12000</v>
      </c>
      <c r="F22" s="5">
        <v>12500</v>
      </c>
      <c r="G22" s="5">
        <v>13000</v>
      </c>
      <c r="H22" s="5">
        <v>13500</v>
      </c>
      <c r="I22" s="5">
        <v>13250</v>
      </c>
      <c r="J22" s="5">
        <v>14000</v>
      </c>
      <c r="K22" s="5">
        <v>14500</v>
      </c>
      <c r="L22" s="5">
        <v>15000</v>
      </c>
      <c r="M22" s="5">
        <v>18000</v>
      </c>
      <c r="N22" s="5">
        <v>10750</v>
      </c>
      <c r="O22" s="5">
        <v>10250</v>
      </c>
      <c r="P22" s="5">
        <v>11500</v>
      </c>
      <c r="Q22" s="5">
        <v>12250</v>
      </c>
      <c r="R22" s="5">
        <v>12750</v>
      </c>
      <c r="S22" s="5">
        <v>13250</v>
      </c>
      <c r="T22" s="5">
        <v>13750</v>
      </c>
      <c r="U22" s="5">
        <v>13500</v>
      </c>
      <c r="V22" s="5">
        <v>14250</v>
      </c>
      <c r="W22" s="5">
        <v>14750</v>
      </c>
      <c r="X22" s="5">
        <v>15250</v>
      </c>
      <c r="Y22" s="5">
        <v>18500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x14ac:dyDescent="0.3">
      <c r="A23" s="7" t="s">
        <v>6</v>
      </c>
      <c r="B23" s="5">
        <v>4000</v>
      </c>
      <c r="C23" s="5">
        <v>3800</v>
      </c>
      <c r="D23" s="5">
        <v>4200</v>
      </c>
      <c r="E23" s="5">
        <v>4300</v>
      </c>
      <c r="F23" s="5">
        <v>4500</v>
      </c>
      <c r="G23" s="5">
        <v>4700</v>
      </c>
      <c r="H23" s="5">
        <v>4800</v>
      </c>
      <c r="I23" s="5">
        <v>4700</v>
      </c>
      <c r="J23" s="5">
        <v>5000</v>
      </c>
      <c r="K23" s="5">
        <v>5200</v>
      </c>
      <c r="L23" s="5">
        <v>5500</v>
      </c>
      <c r="M23" s="5">
        <v>6000</v>
      </c>
      <c r="N23" s="5">
        <v>4100</v>
      </c>
      <c r="O23" s="5">
        <v>3900</v>
      </c>
      <c r="P23" s="5">
        <v>4300</v>
      </c>
      <c r="Q23" s="5">
        <v>4400</v>
      </c>
      <c r="R23" s="5">
        <v>4600</v>
      </c>
      <c r="S23" s="5">
        <v>4800</v>
      </c>
      <c r="T23" s="5">
        <v>4900</v>
      </c>
      <c r="U23" s="5">
        <v>4800</v>
      </c>
      <c r="V23" s="5">
        <v>5100</v>
      </c>
      <c r="W23" s="5">
        <v>5300</v>
      </c>
      <c r="X23" s="5">
        <v>5600</v>
      </c>
      <c r="Y23" s="5">
        <v>6200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 x14ac:dyDescent="0.3">
      <c r="A24" s="7" t="s">
        <v>7</v>
      </c>
      <c r="B24" s="5">
        <v>2500</v>
      </c>
      <c r="C24" s="5">
        <v>2500</v>
      </c>
      <c r="D24" s="5">
        <v>2500</v>
      </c>
      <c r="E24" s="5">
        <v>2500</v>
      </c>
      <c r="F24" s="5">
        <v>2600</v>
      </c>
      <c r="G24" s="5">
        <v>2600</v>
      </c>
      <c r="H24" s="5">
        <v>2600</v>
      </c>
      <c r="I24" s="5">
        <v>2600</v>
      </c>
      <c r="J24" s="5">
        <v>2700</v>
      </c>
      <c r="K24" s="5">
        <v>2700</v>
      </c>
      <c r="L24" s="5">
        <v>2700</v>
      </c>
      <c r="M24" s="5">
        <v>2800</v>
      </c>
      <c r="N24" s="5">
        <v>2550</v>
      </c>
      <c r="O24" s="5">
        <v>2550</v>
      </c>
      <c r="P24" s="5">
        <v>2550</v>
      </c>
      <c r="Q24" s="5">
        <v>2550</v>
      </c>
      <c r="R24" s="5">
        <v>2650</v>
      </c>
      <c r="S24" s="5">
        <v>2650</v>
      </c>
      <c r="T24" s="5">
        <v>2650</v>
      </c>
      <c r="U24" s="5">
        <v>2650</v>
      </c>
      <c r="V24" s="5">
        <v>2750</v>
      </c>
      <c r="W24" s="5">
        <v>2750</v>
      </c>
      <c r="X24" s="5">
        <v>2750</v>
      </c>
      <c r="Y24" s="5">
        <v>2850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 x14ac:dyDescent="0.3">
      <c r="A25" s="7" t="s">
        <v>8</v>
      </c>
      <c r="B25" s="5">
        <v>1500</v>
      </c>
      <c r="C25" s="5">
        <v>1500</v>
      </c>
      <c r="D25" s="5">
        <v>1500</v>
      </c>
      <c r="E25" s="5">
        <v>1500</v>
      </c>
      <c r="F25" s="5">
        <v>1500</v>
      </c>
      <c r="G25" s="5">
        <v>1500</v>
      </c>
      <c r="H25" s="5">
        <v>1500</v>
      </c>
      <c r="I25" s="5">
        <v>1500</v>
      </c>
      <c r="J25" s="5">
        <v>1500</v>
      </c>
      <c r="K25" s="5">
        <v>1500</v>
      </c>
      <c r="L25" s="5">
        <v>1500</v>
      </c>
      <c r="M25" s="5">
        <v>1500</v>
      </c>
      <c r="N25" s="5">
        <v>1500</v>
      </c>
      <c r="O25" s="5">
        <v>1500</v>
      </c>
      <c r="P25" s="5">
        <v>1500</v>
      </c>
      <c r="Q25" s="5">
        <v>1500</v>
      </c>
      <c r="R25" s="5">
        <v>1500</v>
      </c>
      <c r="S25" s="5">
        <v>1500</v>
      </c>
      <c r="T25" s="5">
        <v>1500</v>
      </c>
      <c r="U25" s="5">
        <v>1500</v>
      </c>
      <c r="V25" s="5">
        <v>1500</v>
      </c>
      <c r="W25" s="5">
        <v>1500</v>
      </c>
      <c r="X25" s="5">
        <v>1500</v>
      </c>
      <c r="Y25" s="5">
        <v>1500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 x14ac:dyDescent="0.3">
      <c r="A26" s="7" t="s">
        <v>9</v>
      </c>
      <c r="B26" s="5">
        <v>3500</v>
      </c>
      <c r="C26" s="5">
        <v>3400</v>
      </c>
      <c r="D26" s="5">
        <v>3600</v>
      </c>
      <c r="E26" s="5">
        <v>3700</v>
      </c>
      <c r="F26" s="5">
        <v>3800</v>
      </c>
      <c r="G26" s="5">
        <v>3900</v>
      </c>
      <c r="H26" s="5">
        <v>4000</v>
      </c>
      <c r="I26" s="5">
        <v>3950</v>
      </c>
      <c r="J26" s="5">
        <v>4200</v>
      </c>
      <c r="K26" s="5">
        <v>4300</v>
      </c>
      <c r="L26" s="5">
        <v>4500</v>
      </c>
      <c r="M26" s="5">
        <v>5000</v>
      </c>
      <c r="N26" s="5">
        <v>3600</v>
      </c>
      <c r="O26" s="5">
        <v>3500</v>
      </c>
      <c r="P26" s="5">
        <v>3700</v>
      </c>
      <c r="Q26" s="5">
        <v>3800</v>
      </c>
      <c r="R26" s="5">
        <v>3900</v>
      </c>
      <c r="S26" s="5">
        <v>4000</v>
      </c>
      <c r="T26" s="5">
        <v>4100</v>
      </c>
      <c r="U26" s="5">
        <v>4050</v>
      </c>
      <c r="V26" s="5">
        <v>4300</v>
      </c>
      <c r="W26" s="5">
        <v>4400</v>
      </c>
      <c r="X26" s="5">
        <v>4600</v>
      </c>
      <c r="Y26" s="5">
        <v>5200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spans="1:35" x14ac:dyDescent="0.3">
      <c r="A27" s="12" t="s">
        <v>54</v>
      </c>
      <c r="B27" s="13">
        <f>B9-B15-SUM(B17:B26)</f>
        <v>72740</v>
      </c>
      <c r="C27" s="13">
        <f t="shared" ref="C27:Y27" si="22">C9-C15-SUM(C17:C26)</f>
        <v>62500</v>
      </c>
      <c r="D27" s="13">
        <f t="shared" si="22"/>
        <v>85950</v>
      </c>
      <c r="E27" s="13">
        <f t="shared" si="22"/>
        <v>93300</v>
      </c>
      <c r="F27" s="13">
        <f t="shared" si="22"/>
        <v>99500</v>
      </c>
      <c r="G27" s="13">
        <f t="shared" si="22"/>
        <v>112290</v>
      </c>
      <c r="H27" s="13">
        <f t="shared" si="22"/>
        <v>110870</v>
      </c>
      <c r="I27" s="13">
        <f t="shared" si="22"/>
        <v>111690</v>
      </c>
      <c r="J27" s="13">
        <f t="shared" si="22"/>
        <v>119360</v>
      </c>
      <c r="K27" s="13">
        <f t="shared" si="22"/>
        <v>134780</v>
      </c>
      <c r="L27" s="13">
        <f t="shared" si="22"/>
        <v>131000</v>
      </c>
      <c r="M27" s="13">
        <f t="shared" si="22"/>
        <v>178940</v>
      </c>
      <c r="N27" s="13">
        <f t="shared" si="22"/>
        <v>74540</v>
      </c>
      <c r="O27" s="13">
        <f t="shared" si="22"/>
        <v>73360</v>
      </c>
      <c r="P27" s="13">
        <f t="shared" si="22"/>
        <v>91590</v>
      </c>
      <c r="Q27" s="13">
        <f t="shared" si="22"/>
        <v>87700</v>
      </c>
      <c r="R27" s="13">
        <f t="shared" si="22"/>
        <v>104740</v>
      </c>
      <c r="S27" s="13">
        <f t="shared" si="22"/>
        <v>103730</v>
      </c>
      <c r="T27" s="13">
        <f t="shared" si="22"/>
        <v>115530</v>
      </c>
      <c r="U27" s="13">
        <f t="shared" si="22"/>
        <v>105550</v>
      </c>
      <c r="V27" s="13">
        <f t="shared" si="22"/>
        <v>123330</v>
      </c>
      <c r="W27" s="13">
        <f t="shared" si="22"/>
        <v>132400</v>
      </c>
      <c r="X27" s="13">
        <f t="shared" si="22"/>
        <v>134920</v>
      </c>
      <c r="Y27" s="10">
        <f t="shared" si="22"/>
        <v>190150</v>
      </c>
      <c r="Z27" s="10">
        <f t="shared" ref="Z27" si="23">Z9-Z15-SUM(Z17:Z26)</f>
        <v>0</v>
      </c>
      <c r="AA27" s="10">
        <f t="shared" ref="AA27" si="24">AA9-AA15-SUM(AA17:AA26)</f>
        <v>0</v>
      </c>
      <c r="AB27" s="10">
        <f t="shared" ref="AB27" si="25">AB9-AB15-SUM(AB17:AB26)</f>
        <v>0</v>
      </c>
      <c r="AC27" s="10">
        <f t="shared" ref="AC27" si="26">AC9-AC15-SUM(AC17:AC26)</f>
        <v>0</v>
      </c>
      <c r="AD27" s="10">
        <f t="shared" ref="AD27" si="27">AD9-AD15-SUM(AD17:AD26)</f>
        <v>0</v>
      </c>
      <c r="AE27" s="10">
        <f t="shared" ref="AE27" si="28">AE9-AE15-SUM(AE17:AE26)</f>
        <v>0</v>
      </c>
      <c r="AF27" s="10">
        <f t="shared" ref="AF27" si="29">AF9-AF15-SUM(AF17:AF26)</f>
        <v>0</v>
      </c>
      <c r="AG27" s="10">
        <f t="shared" ref="AG27" si="30">AG9-AG15-SUM(AG17:AG26)</f>
        <v>0</v>
      </c>
      <c r="AH27" s="10">
        <f t="shared" ref="AH27" si="31">AH9-AH15-SUM(AH17:AH26)</f>
        <v>0</v>
      </c>
      <c r="AI27" s="10">
        <f t="shared" ref="AI27" si="32">AI9-AI15-SUM(AI17:AI26)</f>
        <v>0</v>
      </c>
    </row>
  </sheetData>
  <mergeCells count="1">
    <mergeCell ref="Z2:AI2"/>
  </mergeCells>
  <phoneticPr fontId="3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506DB62-E524-4260-9B6D-C14D51CEB9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'ABC Restaurant Datasheet'!A3:A3</xm:f>
              <xm:sqref>A9</xm:sqref>
            </x14:sparkline>
            <x14:sparkline>
              <xm:f>'ABC Restaurant Datasheet'!B3:B3</xm:f>
              <xm:sqref>B9</xm:sqref>
            </x14:sparkline>
            <x14:sparkline>
              <xm:f>'ABC Restaurant Datasheet'!C3:C3</xm:f>
              <xm:sqref>C9</xm:sqref>
            </x14:sparkline>
            <x14:sparkline>
              <xm:f>'ABC Restaurant Datasheet'!D3:D3</xm:f>
              <xm:sqref>D9</xm:sqref>
            </x14:sparkline>
            <x14:sparkline>
              <xm:f>'ABC Restaurant Datasheet'!E3:E3</xm:f>
              <xm:sqref>E9</xm:sqref>
            </x14:sparkline>
            <x14:sparkline>
              <xm:f>'ABC Restaurant Datasheet'!F3:F3</xm:f>
              <xm:sqref>F9</xm:sqref>
            </x14:sparkline>
            <x14:sparkline>
              <xm:f>'ABC Restaurant Datasheet'!G3:G3</xm:f>
              <xm:sqref>G9</xm:sqref>
            </x14:sparkline>
            <x14:sparkline>
              <xm:f>'ABC Restaurant Datasheet'!H3:H3</xm:f>
              <xm:sqref>H9</xm:sqref>
            </x14:sparkline>
            <x14:sparkline>
              <xm:f>'ABC Restaurant Datasheet'!I3:I3</xm:f>
              <xm:sqref>I9</xm:sqref>
            </x14:sparkline>
            <x14:sparkline>
              <xm:f>'ABC Restaurant Datasheet'!J3:J3</xm:f>
              <xm:sqref>J9</xm:sqref>
            </x14:sparkline>
            <x14:sparkline>
              <xm:f>'ABC Restaurant Datasheet'!K3:K3</xm:f>
              <xm:sqref>K9</xm:sqref>
            </x14:sparkline>
            <x14:sparkline>
              <xm:f>'ABC Restaurant Datasheet'!L3:L3</xm:f>
              <xm:sqref>L9</xm:sqref>
            </x14:sparkline>
            <x14:sparkline>
              <xm:f>'ABC Restaurant Datasheet'!M3:M3</xm:f>
              <xm:sqref>M9</xm:sqref>
            </x14:sparkline>
            <x14:sparkline>
              <xm:f>'ABC Restaurant Datasheet'!N3:N3</xm:f>
              <xm:sqref>N9</xm:sqref>
            </x14:sparkline>
            <x14:sparkline>
              <xm:f>'ABC Restaurant Datasheet'!O3:O3</xm:f>
              <xm:sqref>O9</xm:sqref>
            </x14:sparkline>
            <x14:sparkline>
              <xm:f>'ABC Restaurant Datasheet'!P3:P3</xm:f>
              <xm:sqref>P9</xm:sqref>
            </x14:sparkline>
            <x14:sparkline>
              <xm:f>'ABC Restaurant Datasheet'!Q3:Q3</xm:f>
              <xm:sqref>Q9</xm:sqref>
            </x14:sparkline>
            <x14:sparkline>
              <xm:f>'ABC Restaurant Datasheet'!R3:R3</xm:f>
              <xm:sqref>R9</xm:sqref>
            </x14:sparkline>
            <x14:sparkline>
              <xm:f>'ABC Restaurant Datasheet'!S3:S3</xm:f>
              <xm:sqref>S9</xm:sqref>
            </x14:sparkline>
            <x14:sparkline>
              <xm:f>'ABC Restaurant Datasheet'!T3:T3</xm:f>
              <xm:sqref>T9</xm:sqref>
            </x14:sparkline>
            <x14:sparkline>
              <xm:f>'ABC Restaurant Datasheet'!U3:U3</xm:f>
              <xm:sqref>U9</xm:sqref>
            </x14:sparkline>
            <x14:sparkline>
              <xm:f>'ABC Restaurant Datasheet'!V3:V3</xm:f>
              <xm:sqref>V9</xm:sqref>
            </x14:sparkline>
            <x14:sparkline>
              <xm:f>'ABC Restaurant Datasheet'!W3:W3</xm:f>
              <xm:sqref>W9</xm:sqref>
            </x14:sparkline>
            <x14:sparkline>
              <xm:f>'ABC Restaurant Datasheet'!X3:X3</xm:f>
              <xm:sqref>X9</xm:sqref>
            </x14:sparkline>
            <x14:sparkline>
              <xm:f>'ABC Restaurant Datasheet'!Y3:Y3</xm:f>
              <xm:sqref>Y9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7175-4DEA-490F-A516-80AC0FFC585A}">
  <dimension ref="A1:X40"/>
  <sheetViews>
    <sheetView tabSelected="1" zoomScale="55" zoomScaleNormal="55" workbookViewId="0">
      <selection activeCell="AA13" sqref="AA13"/>
    </sheetView>
  </sheetViews>
  <sheetFormatPr defaultRowHeight="14.4" x14ac:dyDescent="0.3"/>
  <cols>
    <col min="1" max="1" width="15.59765625" customWidth="1"/>
    <col min="2" max="2" width="11.296875" customWidth="1"/>
    <col min="3" max="3" width="12.59765625" customWidth="1"/>
    <col min="4" max="4" width="32.796875" customWidth="1"/>
    <col min="5" max="5" width="33.19921875" customWidth="1"/>
  </cols>
  <sheetData>
    <row r="1" spans="1:24" ht="23.65" x14ac:dyDescent="0.5">
      <c r="A1" t="s">
        <v>56</v>
      </c>
      <c r="B1" t="s">
        <v>57</v>
      </c>
      <c r="C1" t="s">
        <v>46</v>
      </c>
      <c r="D1" t="s">
        <v>58</v>
      </c>
      <c r="E1" t="s">
        <v>59</v>
      </c>
      <c r="G1" s="20"/>
      <c r="H1" s="20"/>
      <c r="I1" s="20"/>
      <c r="J1" s="20"/>
      <c r="K1" s="20"/>
      <c r="L1" s="21"/>
      <c r="M1" s="21"/>
      <c r="N1" s="20"/>
      <c r="O1" s="22" t="s">
        <v>60</v>
      </c>
      <c r="P1" s="20"/>
      <c r="Q1" s="20"/>
      <c r="R1" s="20"/>
      <c r="S1" s="20"/>
      <c r="T1" s="20"/>
      <c r="U1" s="20"/>
      <c r="V1" s="20"/>
      <c r="W1" s="20"/>
      <c r="X1" s="20"/>
    </row>
    <row r="2" spans="1:24" x14ac:dyDescent="0.3">
      <c r="A2" s="19">
        <v>306000</v>
      </c>
      <c r="B2" s="19">
        <v>306000</v>
      </c>
    </row>
    <row r="3" spans="1:24" x14ac:dyDescent="0.3">
      <c r="A3" s="19">
        <v>314000</v>
      </c>
      <c r="B3" s="19">
        <v>314000</v>
      </c>
    </row>
    <row r="4" spans="1:24" x14ac:dyDescent="0.3">
      <c r="A4" s="19">
        <v>317000</v>
      </c>
      <c r="B4" s="19">
        <v>317000</v>
      </c>
    </row>
    <row r="5" spans="1:24" x14ac:dyDescent="0.3">
      <c r="A5" s="19">
        <v>325000</v>
      </c>
      <c r="B5" s="19">
        <v>325000</v>
      </c>
    </row>
    <row r="6" spans="1:24" x14ac:dyDescent="0.3">
      <c r="A6" s="19">
        <v>335000</v>
      </c>
      <c r="B6" s="19">
        <v>335000</v>
      </c>
    </row>
    <row r="7" spans="1:24" x14ac:dyDescent="0.3">
      <c r="A7" s="19">
        <v>343000</v>
      </c>
      <c r="B7" s="19">
        <v>343000</v>
      </c>
    </row>
    <row r="8" spans="1:24" x14ac:dyDescent="0.3">
      <c r="A8" s="19">
        <v>353000</v>
      </c>
      <c r="B8" s="19">
        <v>353000</v>
      </c>
    </row>
    <row r="9" spans="1:24" x14ac:dyDescent="0.3">
      <c r="A9" s="19">
        <v>361000</v>
      </c>
      <c r="B9" s="19">
        <v>361000</v>
      </c>
    </row>
    <row r="10" spans="1:24" x14ac:dyDescent="0.3">
      <c r="A10" s="19">
        <v>370000</v>
      </c>
      <c r="B10" s="19">
        <v>370000</v>
      </c>
    </row>
    <row r="11" spans="1:24" x14ac:dyDescent="0.3">
      <c r="A11" s="19">
        <v>378000</v>
      </c>
      <c r="B11" s="19">
        <v>378000</v>
      </c>
    </row>
    <row r="12" spans="1:24" x14ac:dyDescent="0.3">
      <c r="A12" s="19">
        <v>387000</v>
      </c>
      <c r="B12" s="19">
        <v>387000</v>
      </c>
    </row>
    <row r="13" spans="1:24" x14ac:dyDescent="0.3">
      <c r="A13" s="19">
        <v>395000</v>
      </c>
      <c r="B13" s="19">
        <v>395000</v>
      </c>
    </row>
    <row r="14" spans="1:24" x14ac:dyDescent="0.3">
      <c r="A14" s="19">
        <v>404000</v>
      </c>
      <c r="B14" s="19">
        <v>403500</v>
      </c>
    </row>
    <row r="15" spans="1:24" x14ac:dyDescent="0.3">
      <c r="A15" s="19">
        <v>412000</v>
      </c>
      <c r="B15" s="19">
        <v>412000</v>
      </c>
    </row>
    <row r="16" spans="1:24" x14ac:dyDescent="0.3">
      <c r="A16" s="19">
        <v>421000</v>
      </c>
      <c r="B16" s="19">
        <v>421000</v>
      </c>
    </row>
    <row r="17" spans="1:5" x14ac:dyDescent="0.3">
      <c r="A17" s="19">
        <v>429000</v>
      </c>
      <c r="B17" s="19">
        <v>429000</v>
      </c>
    </row>
    <row r="18" spans="1:5" x14ac:dyDescent="0.3">
      <c r="A18" s="19">
        <v>438000</v>
      </c>
      <c r="B18" s="19">
        <v>438000</v>
      </c>
    </row>
    <row r="19" spans="1:5" x14ac:dyDescent="0.3">
      <c r="A19" s="19">
        <v>446000</v>
      </c>
      <c r="B19" s="19">
        <v>446000</v>
      </c>
    </row>
    <row r="20" spans="1:5" x14ac:dyDescent="0.3">
      <c r="A20" s="19">
        <v>455000</v>
      </c>
      <c r="B20" s="19">
        <v>455000</v>
      </c>
    </row>
    <row r="21" spans="1:5" x14ac:dyDescent="0.3">
      <c r="A21" s="19">
        <v>463000</v>
      </c>
      <c r="B21" s="19">
        <v>463000</v>
      </c>
    </row>
    <row r="22" spans="1:5" x14ac:dyDescent="0.3">
      <c r="A22" s="19">
        <v>471195.7671957672</v>
      </c>
      <c r="B22" s="19">
        <v>471625</v>
      </c>
    </row>
    <row r="23" spans="1:5" x14ac:dyDescent="0.3">
      <c r="A23" s="19">
        <v>479391.5343915344</v>
      </c>
      <c r="B23" s="19">
        <v>480250</v>
      </c>
    </row>
    <row r="24" spans="1:5" x14ac:dyDescent="0.3">
      <c r="A24" s="19">
        <v>487587.3015873016</v>
      </c>
      <c r="B24" s="19">
        <v>488875</v>
      </c>
    </row>
    <row r="25" spans="1:5" x14ac:dyDescent="0.3">
      <c r="A25" s="19">
        <v>495783.0687830688</v>
      </c>
      <c r="B25" s="19">
        <v>497500</v>
      </c>
    </row>
    <row r="26" spans="1:5" x14ac:dyDescent="0.3">
      <c r="A26" s="19">
        <v>503978.835978836</v>
      </c>
      <c r="B26" s="19">
        <v>506125</v>
      </c>
    </row>
    <row r="27" spans="1:5" x14ac:dyDescent="0.3">
      <c r="A27" s="19">
        <v>512174.60317460319</v>
      </c>
      <c r="B27" s="19">
        <v>514750</v>
      </c>
    </row>
    <row r="28" spans="1:5" x14ac:dyDescent="0.3">
      <c r="A28" s="19">
        <v>520370.37037037039</v>
      </c>
      <c r="B28" s="19">
        <v>523375</v>
      </c>
    </row>
    <row r="29" spans="1:5" x14ac:dyDescent="0.3">
      <c r="A29" s="19">
        <v>532000</v>
      </c>
      <c r="B29" s="19">
        <v>532000</v>
      </c>
    </row>
    <row r="30" spans="1:5" x14ac:dyDescent="0.3">
      <c r="A30" s="19">
        <v>536761.90476190485</v>
      </c>
      <c r="B30" s="19">
        <v>538000</v>
      </c>
    </row>
    <row r="31" spans="1:5" x14ac:dyDescent="0.3">
      <c r="A31" s="19">
        <v>544957.67195767199</v>
      </c>
      <c r="B31" s="19">
        <v>544000</v>
      </c>
    </row>
    <row r="32" spans="1:5" x14ac:dyDescent="0.3">
      <c r="A32" s="19">
        <v>550000</v>
      </c>
      <c r="B32" s="19">
        <v>550000</v>
      </c>
      <c r="C32" s="19">
        <v>550000</v>
      </c>
      <c r="D32" s="19">
        <v>550000</v>
      </c>
      <c r="E32" s="19">
        <v>550000</v>
      </c>
    </row>
    <row r="33" spans="1:5" x14ac:dyDescent="0.3">
      <c r="A33" s="19">
        <v>558195.76719576714</v>
      </c>
      <c r="C33" s="19">
        <f>_xlfn.FORECAST.ETS(A33,$B$2:$B$32,$A$2:$A$32,1,1)</f>
        <v>558597.60342064803</v>
      </c>
      <c r="D33" s="19">
        <f>C33-_xlfn.FORECAST.ETS.CONFINT(A33,$B$2:$B$32,$A$2:$A$32,0.95,1,1)</f>
        <v>555923.05164663703</v>
      </c>
      <c r="E33" s="19">
        <f>C33+_xlfn.FORECAST.ETS.CONFINT(A33,$B$2:$B$32,$A$2:$A$32,0.95,1,1)</f>
        <v>561272.15519465902</v>
      </c>
    </row>
    <row r="34" spans="1:5" x14ac:dyDescent="0.3">
      <c r="A34" s="19">
        <v>566391.5343915344</v>
      </c>
      <c r="C34" s="19">
        <f>_xlfn.FORECAST.ETS(A34,$B$2:$B$32,$A$2:$A$32,1,1)</f>
        <v>566927.49537003471</v>
      </c>
      <c r="D34" s="19">
        <f>C34-_xlfn.FORECAST.ETS.CONFINT(A34,$B$2:$B$32,$A$2:$A$32,0.95,1,1)</f>
        <v>563325.68760050449</v>
      </c>
      <c r="E34" s="19">
        <f>C34+_xlfn.FORECAST.ETS.CONFINT(A34,$B$2:$B$32,$A$2:$A$32,0.95,1,1)</f>
        <v>570529.30313956493</v>
      </c>
    </row>
    <row r="35" spans="1:5" x14ac:dyDescent="0.3">
      <c r="A35" s="19">
        <v>574587.30158730154</v>
      </c>
      <c r="C35" s="19">
        <f>_xlfn.FORECAST.ETS(A35,$B$2:$B$32,$A$2:$A$32,1,1)</f>
        <v>575257.38731942116</v>
      </c>
      <c r="D35" s="19">
        <f>C35-_xlfn.FORECAST.ETS.CONFINT(A35,$B$2:$B$32,$A$2:$A$32,0.95,1,1)</f>
        <v>570922.336188833</v>
      </c>
      <c r="E35" s="19">
        <f>C35+_xlfn.FORECAST.ETS.CONFINT(A35,$B$2:$B$32,$A$2:$A$32,0.95,1,1)</f>
        <v>579592.43845000933</v>
      </c>
    </row>
    <row r="36" spans="1:5" x14ac:dyDescent="0.3">
      <c r="A36" s="19">
        <v>582783.0687830688</v>
      </c>
      <c r="C36" s="19">
        <f>_xlfn.FORECAST.ETS(A36,$B$2:$B$32,$A$2:$A$32,1,1)</f>
        <v>583587.27926880773</v>
      </c>
      <c r="D36" s="19">
        <f>C36-_xlfn.FORECAST.ETS.CONFINT(A36,$B$2:$B$32,$A$2:$A$32,0.95,1,1)</f>
        <v>578624.91027929087</v>
      </c>
      <c r="E36" s="19">
        <f>C36+_xlfn.FORECAST.ETS.CONFINT(A36,$B$2:$B$32,$A$2:$A$32,0.95,1,1)</f>
        <v>588549.6482583246</v>
      </c>
    </row>
    <row r="37" spans="1:5" x14ac:dyDescent="0.3">
      <c r="A37" s="19">
        <v>590978.83597883594</v>
      </c>
      <c r="C37" s="19">
        <f>_xlfn.FORECAST.ETS(A37,$B$2:$B$32,$A$2:$A$32,1,1)</f>
        <v>591917.1712181943</v>
      </c>
      <c r="D37" s="19">
        <f>C37-_xlfn.FORECAST.ETS.CONFINT(A37,$B$2:$B$32,$A$2:$A$32,0.95,1,1)</f>
        <v>586397.17608295474</v>
      </c>
      <c r="E37" s="19">
        <f>C37+_xlfn.FORECAST.ETS.CONFINT(A37,$B$2:$B$32,$A$2:$A$32,0.95,1,1)</f>
        <v>597437.16635343386</v>
      </c>
    </row>
    <row r="38" spans="1:5" x14ac:dyDescent="0.3">
      <c r="A38" s="19">
        <v>599174.60317460319</v>
      </c>
      <c r="C38" s="19">
        <f>_xlfn.FORECAST.ETS(A38,$B$2:$B$32,$A$2:$A$32,1,1)</f>
        <v>600247.06316758087</v>
      </c>
      <c r="D38" s="19">
        <f>C38-_xlfn.FORECAST.ETS.CONFINT(A38,$B$2:$B$32,$A$2:$A$32,0.95,1,1)</f>
        <v>594219.75835911359</v>
      </c>
      <c r="E38" s="19">
        <f>C38+_xlfn.FORECAST.ETS.CONFINT(A38,$B$2:$B$32,$A$2:$A$32,0.95,1,1)</f>
        <v>606274.36797604815</v>
      </c>
    </row>
    <row r="39" spans="1:5" x14ac:dyDescent="0.3">
      <c r="A39" s="19">
        <v>607370.37037037034</v>
      </c>
      <c r="C39" s="19">
        <f>_xlfn.FORECAST.ETS(A39,$B$2:$B$32,$A$2:$A$32,1,1)</f>
        <v>608576.95511696732</v>
      </c>
      <c r="D39" s="19">
        <f>C39-_xlfn.FORECAST.ETS.CONFINT(A39,$B$2:$B$32,$A$2:$A$32,0.95,1,1)</f>
        <v>602080.85698763316</v>
      </c>
      <c r="E39" s="19">
        <f>C39+_xlfn.FORECAST.ETS.CONFINT(A39,$B$2:$B$32,$A$2:$A$32,0.95,1,1)</f>
        <v>615073.05324630148</v>
      </c>
    </row>
    <row r="40" spans="1:5" x14ac:dyDescent="0.3">
      <c r="A40" s="19">
        <v>615566.13756613759</v>
      </c>
      <c r="C40" s="19">
        <f>_xlfn.FORECAST.ETS(A40,$B$2:$B$32,$A$2:$A$32,1,1)</f>
        <v>616906.84706635401</v>
      </c>
      <c r="D40" s="19">
        <f>C40-_xlfn.FORECAST.ETS.CONFINT(A40,$B$2:$B$32,$A$2:$A$32,0.95,1,1)</f>
        <v>609972.65473538474</v>
      </c>
      <c r="E40" s="19">
        <f>C40+_xlfn.FORECAST.ETS.CONFINT(A40,$B$2:$B$32,$A$2:$A$32,0.95,1,1)</f>
        <v>623841.03939732327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ABC Restaurant Datasheet</vt:lpstr>
      <vt:lpstr>Revenue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Raghvender Gautam</dc:creator>
  <cp:lastModifiedBy>SUMAIYA TASNIM</cp:lastModifiedBy>
  <dcterms:created xsi:type="dcterms:W3CDTF">2026-01-26T16:09:45Z</dcterms:created>
  <dcterms:modified xsi:type="dcterms:W3CDTF">2026-01-30T19:49:17Z</dcterms:modified>
</cp:coreProperties>
</file>